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osion_Rate_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REFINERY — API 570 PIPING CIRCUIT ULTRASONIC CORROSION REGISTER</t>
        </is>
      </c>
    </row>
    <row r="2">
      <c r="A2" s="2" t="inlineStr">
        <is>
          <t>Line ID</t>
        </is>
      </c>
      <c r="B2" s="2" t="inlineStr">
        <is>
          <t>Service Fluid</t>
        </is>
      </c>
      <c r="C2" s="2" t="inlineStr">
        <is>
          <t>Material</t>
        </is>
      </c>
      <c r="D2" s="2" t="inlineStr">
        <is>
          <t>CML No</t>
        </is>
      </c>
      <c r="E2" s="2" t="inlineStr">
        <is>
          <t>Nominal (mm)</t>
        </is>
      </c>
      <c r="F2" s="2" t="inlineStr">
        <is>
          <t>t_min (mm)</t>
        </is>
      </c>
      <c r="G2" s="2" t="inlineStr">
        <is>
          <t>t_prev (mm)</t>
        </is>
      </c>
      <c r="H2" s="2" t="inlineStr">
        <is>
          <t>t_act (mm)</t>
        </is>
      </c>
      <c r="I2" s="2" t="inlineStr">
        <is>
          <t>ΔYears</t>
        </is>
      </c>
      <c r="J2" s="2" t="inlineStr">
        <is>
          <t>Short CR (mm/y)</t>
        </is>
      </c>
      <c r="K2" s="2" t="inlineStr">
        <is>
          <t>Long CR (mm/y)</t>
        </is>
      </c>
      <c r="L2" s="2" t="inlineStr">
        <is>
          <t>Gov CR</t>
        </is>
      </c>
      <c r="M2" s="2" t="inlineStr">
        <is>
          <t>Remaining Life (y)</t>
        </is>
      </c>
      <c r="N2" s="2" t="inlineStr">
        <is>
          <t>Next Insp Due</t>
        </is>
      </c>
    </row>
    <row r="3">
      <c r="A3" t="inlineStr">
        <is>
          <t>L-CDU-01</t>
        </is>
      </c>
      <c r="B3" t="inlineStr">
        <is>
          <t>Crude Oil</t>
        </is>
      </c>
      <c r="C3" t="inlineStr">
        <is>
          <t>Carbon Steel</t>
        </is>
      </c>
      <c r="D3" t="inlineStr">
        <is>
          <t>CML-01</t>
        </is>
      </c>
      <c r="E3" t="n">
        <v>9.52</v>
      </c>
      <c r="F3" t="n">
        <v>4.2</v>
      </c>
      <c r="G3" t="n">
        <v>8.1</v>
      </c>
      <c r="H3" t="n">
        <v>7.65</v>
      </c>
      <c r="I3" t="n">
        <v>2</v>
      </c>
      <c r="J3">
        <f>(G3-H3)/I3</f>
        <v/>
      </c>
      <c r="K3">
        <f>(E3-H3)/8.0</f>
        <v/>
      </c>
      <c r="L3">
        <f>MAX(J3,K3)</f>
        <v/>
      </c>
      <c r="M3">
        <f>(H3-F3)/L3</f>
        <v/>
      </c>
      <c r="N3">
        <f>MIN(M3/2, 5.0)</f>
        <v/>
      </c>
    </row>
    <row r="4">
      <c r="A4" t="inlineStr">
        <is>
          <t>L-CDU-02</t>
        </is>
      </c>
      <c r="B4" t="inlineStr">
        <is>
          <t>Heavy Naphtha</t>
        </is>
      </c>
      <c r="C4" t="inlineStr">
        <is>
          <t>CS + Clad</t>
        </is>
      </c>
      <c r="D4" t="inlineStr">
        <is>
          <t>CML-02</t>
        </is>
      </c>
      <c r="E4" t="n">
        <v>8.18</v>
      </c>
      <c r="F4" t="n">
        <v>3.8</v>
      </c>
      <c r="G4" t="n">
        <v>7.4</v>
      </c>
      <c r="H4" t="n">
        <v>7.22</v>
      </c>
      <c r="I4" t="n">
        <v>2</v>
      </c>
      <c r="J4">
        <f>(G4-H4)/I4</f>
        <v/>
      </c>
      <c r="K4">
        <f>(E4-H4)/8.0</f>
        <v/>
      </c>
      <c r="L4">
        <f>MAX(J4,K4)</f>
        <v/>
      </c>
      <c r="M4">
        <f>(H4-F4)/L4</f>
        <v/>
      </c>
      <c r="N4">
        <f>MIN(N4/2, 5.0)</f>
        <v/>
      </c>
    </row>
    <row r="5">
      <c r="A5" t="inlineStr">
        <is>
          <t>L-HCU-05</t>
        </is>
      </c>
      <c r="B5" t="inlineStr">
        <is>
          <t>Sour Gas (H2S)</t>
        </is>
      </c>
      <c r="C5" t="inlineStr">
        <is>
          <t>SS 316L</t>
        </is>
      </c>
      <c r="D5" t="inlineStr">
        <is>
          <t>CML-03</t>
        </is>
      </c>
      <c r="E5" t="n">
        <v>12.7</v>
      </c>
      <c r="F5" t="n">
        <v>5.5</v>
      </c>
      <c r="G5" t="n">
        <v>11.8</v>
      </c>
      <c r="H5" t="n">
        <v>11.5</v>
      </c>
      <c r="I5" t="n">
        <v>2</v>
      </c>
      <c r="J5">
        <f>(G5-H5)/I5</f>
        <v/>
      </c>
      <c r="K5">
        <f>(E5-H5)/8.0</f>
        <v/>
      </c>
      <c r="L5">
        <f>MAX(J5,K5)</f>
        <v/>
      </c>
      <c r="M5">
        <f>(H5-F5)/L5</f>
        <v/>
      </c>
      <c r="N5">
        <f>MIN(N5/2, 3.0)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