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1_Sta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MRPL REFINERY — GREENHOUSE GAS (GHG) INVENTORY (SCOPE 1 &amp; SCOPE 2)</t>
        </is>
      </c>
    </row>
    <row r="2">
      <c r="A2" s="2" t="inlineStr">
        <is>
          <t>Emission Source</t>
        </is>
      </c>
      <c r="B2" s="2" t="inlineStr">
        <is>
          <t>Fuel Type</t>
        </is>
      </c>
      <c r="C2" s="2" t="inlineStr">
        <is>
          <t>Activity Quantity</t>
        </is>
      </c>
      <c r="D2" s="2" t="inlineStr">
        <is>
          <t>Unit</t>
        </is>
      </c>
      <c r="E2" s="2" t="inlineStr">
        <is>
          <t>Net Calorific Value</t>
        </is>
      </c>
      <c r="F2" s="2" t="inlineStr">
        <is>
          <t>Emission Factor (kg CO2/MMBtu)</t>
        </is>
      </c>
      <c r="G2" s="2" t="inlineStr">
        <is>
          <t>Scope 1 tCO2e</t>
        </is>
      </c>
      <c r="H2" s="2" t="inlineStr">
        <is>
          <t>Data Quality</t>
        </is>
      </c>
    </row>
    <row r="3">
      <c r="A3" t="inlineStr">
        <is>
          <t>CDU-1 Fired Heater F-101</t>
        </is>
      </c>
      <c r="B3" t="inlineStr">
        <is>
          <t>Refinery Fuel Gas</t>
        </is>
      </c>
      <c r="C3" t="n">
        <v>18500</v>
      </c>
      <c r="D3" t="inlineStr">
        <is>
          <t>MT/yr</t>
        </is>
      </c>
      <c r="E3" t="n">
        <v>46.5</v>
      </c>
      <c r="F3" t="n">
        <v>53.06</v>
      </c>
      <c r="G3">
        <f>C3*D3*E3*F3/1000000</f>
        <v/>
      </c>
      <c r="H3" t="inlineStr">
        <is>
          <t>Continuous Metered</t>
        </is>
      </c>
    </row>
    <row r="4">
      <c r="A4" t="inlineStr">
        <is>
          <t>Captive Power Plant Boilers</t>
        </is>
      </c>
      <c r="B4" t="inlineStr">
        <is>
          <t>Natural Gas</t>
        </is>
      </c>
      <c r="C4" t="n">
        <v>45000</v>
      </c>
      <c r="D4" t="inlineStr">
        <is>
          <t>kSm³/yr</t>
        </is>
      </c>
      <c r="E4" t="n">
        <v>38.2</v>
      </c>
      <c r="F4" t="n">
        <v>53.06</v>
      </c>
      <c r="G4">
        <f>C4*D4*E4*F4/1000000</f>
        <v/>
      </c>
      <c r="H4" t="inlineStr">
        <is>
          <t>Continuous Metered</t>
        </is>
      </c>
    </row>
    <row r="5">
      <c r="A5" t="inlineStr">
        <is>
          <t>Emergency DG Sets</t>
        </is>
      </c>
      <c r="B5" t="inlineStr">
        <is>
          <t>HSD (Diesel)</t>
        </is>
      </c>
      <c r="C5" t="n">
        <v>120</v>
      </c>
      <c r="D5" t="inlineStr">
        <is>
          <t>kL/yr</t>
        </is>
      </c>
      <c r="E5" t="n">
        <v>36.8</v>
      </c>
      <c r="F5" t="n">
        <v>74.02</v>
      </c>
      <c r="G5">
        <f>C5*D5*E5*F5/1000000</f>
        <v/>
      </c>
      <c r="H5" t="inlineStr">
        <is>
          <t>Batch 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2026-08-28T12:41:19Z</dcterms:created>
  <dcterms:modified xmlns:dcterms="http://purl.org/dc/terms/" xmlns:xsi="http://www.w3.org/2001/XMLSchema-instance" xsi:type="dcterms:W3CDTF">2026-08-28T12:41:19Z</dcterms:modified>
</cp:coreProperties>
</file>