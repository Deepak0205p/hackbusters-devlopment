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U_Y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MRPL REFINERY — DAILY MASS BALANCE &amp; CRUDE YIELD RECONCILIATION</t>
        </is>
      </c>
    </row>
    <row r="2">
      <c r="A2" s="2" t="inlineStr">
        <is>
          <t>Fraction / Stream</t>
        </is>
      </c>
      <c r="B2" s="2" t="inlineStr">
        <is>
          <t>Design Yield %</t>
        </is>
      </c>
      <c r="C2" s="2" t="inlineStr">
        <is>
          <t>Actual Yield %</t>
        </is>
      </c>
      <c r="D2" s="2" t="inlineStr">
        <is>
          <t>Actual MT/Day</t>
        </is>
      </c>
      <c r="E2" s="2" t="inlineStr">
        <is>
          <t>Cum MTD (MT)</t>
        </is>
      </c>
      <c r="F2" s="2" t="inlineStr">
        <is>
          <t>Variance Δ%</t>
        </is>
      </c>
      <c r="G2" s="2" t="inlineStr">
        <is>
          <t>API Gravity</t>
        </is>
      </c>
      <c r="H2" s="2" t="inlineStr">
        <is>
          <t>Sulphur wt%</t>
        </is>
      </c>
      <c r="I2" s="2" t="inlineStr">
        <is>
          <t>Status</t>
        </is>
      </c>
    </row>
    <row r="3">
      <c r="A3" t="inlineStr">
        <is>
          <t>LPG &amp; Off-Gas</t>
        </is>
      </c>
      <c r="B3" t="n">
        <v>2.8</v>
      </c>
      <c r="C3" t="n">
        <v>3.1</v>
      </c>
      <c r="D3" t="n">
        <v>380</v>
      </c>
      <c r="E3" t="n">
        <v>11400</v>
      </c>
      <c r="F3">
        <f>(C3-B3)/B3*100</f>
        <v/>
      </c>
      <c r="G3" t="n">
        <v>0.55</v>
      </c>
      <c r="H3" t="n">
        <v>0.01</v>
      </c>
      <c r="I3" t="inlineStr">
        <is>
          <t>ON-SPEC</t>
        </is>
      </c>
    </row>
    <row r="4">
      <c r="A4" t="inlineStr">
        <is>
          <t>Light Naphtha</t>
        </is>
      </c>
      <c r="B4" t="n">
        <v>7.5</v>
      </c>
      <c r="C4" t="n">
        <v>7.8</v>
      </c>
      <c r="D4" t="n">
        <v>955</v>
      </c>
      <c r="E4" t="n">
        <v>28650</v>
      </c>
      <c r="F4">
        <f>(C4-B4)/B4*100</f>
        <v/>
      </c>
      <c r="G4" t="n">
        <v>72</v>
      </c>
      <c r="H4" t="n">
        <v>0.04</v>
      </c>
      <c r="I4" t="inlineStr">
        <is>
          <t>ON-SPEC</t>
        </is>
      </c>
    </row>
    <row r="5">
      <c r="A5" t="inlineStr">
        <is>
          <t>Motor Spirit (Gasoline)</t>
        </is>
      </c>
      <c r="B5" t="n">
        <v>18.2</v>
      </c>
      <c r="C5" t="n">
        <v>17.9</v>
      </c>
      <c r="D5" t="n">
        <v>2195</v>
      </c>
      <c r="E5" t="n">
        <v>65850</v>
      </c>
      <c r="F5">
        <f>(C5-B5)/B5*100</f>
        <v/>
      </c>
      <c r="G5" t="n">
        <v>58.5</v>
      </c>
      <c r="H5" t="n">
        <v>0.001</v>
      </c>
      <c r="I5" t="inlineStr">
        <is>
          <t>ON-SPEC</t>
        </is>
      </c>
    </row>
    <row r="6">
      <c r="A6" t="inlineStr">
        <is>
          <t>Aviation Turbine Fuel (ATF)</t>
        </is>
      </c>
      <c r="B6" t="n">
        <v>12</v>
      </c>
      <c r="C6" t="n">
        <v>12.4</v>
      </c>
      <c r="D6" t="n">
        <v>1520</v>
      </c>
      <c r="E6" t="n">
        <v>45600</v>
      </c>
      <c r="F6">
        <f>(C6-B6)/B6*100</f>
        <v/>
      </c>
      <c r="G6" t="n">
        <v>41.5</v>
      </c>
      <c r="H6" t="n">
        <v>0.08</v>
      </c>
      <c r="I6" t="inlineStr">
        <is>
          <t>ON-SPEC</t>
        </is>
      </c>
    </row>
    <row r="7">
      <c r="A7" t="inlineStr">
        <is>
          <t>High Speed Diesel (HSD)</t>
        </is>
      </c>
      <c r="B7" t="n">
        <v>42.5</v>
      </c>
      <c r="C7" t="n">
        <v>41.8</v>
      </c>
      <c r="D7" t="n">
        <v>5120</v>
      </c>
      <c r="E7" t="n">
        <v>153600</v>
      </c>
      <c r="F7">
        <f>(C7-B7)/B7*100</f>
        <v/>
      </c>
      <c r="G7" t="n">
        <v>35</v>
      </c>
      <c r="H7" t="n">
        <v>0.001</v>
      </c>
      <c r="I7" t="inlineStr">
        <is>
          <t>ON-SPEC</t>
        </is>
      </c>
    </row>
    <row r="8">
      <c r="A8" t="inlineStr">
        <is>
          <t>Reduced Crude / Bitumen</t>
        </is>
      </c>
      <c r="B8" t="n">
        <v>17</v>
      </c>
      <c r="C8" t="n">
        <v>17</v>
      </c>
      <c r="D8" t="n">
        <v>2085</v>
      </c>
      <c r="E8" t="n">
        <v>62550</v>
      </c>
      <c r="F8">
        <f>(C8-B8)/B8*100</f>
        <v/>
      </c>
      <c r="G8" t="n">
        <v>12</v>
      </c>
      <c r="H8" t="n">
        <v>3.5</v>
      </c>
      <c r="I8" t="inlineStr">
        <is>
          <t>ON-SPEC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2026-08-28T12:41:18Z</dcterms:created>
  <dcterms:modified xmlns:dcterms="http://purl.org/dc/terms/" xmlns:xsi="http://www.w3.org/2001/XMLSchema-instance" xsi:type="dcterms:W3CDTF">2026-08-28T12:41:18Z</dcterms:modified>
</cp:coreProperties>
</file>