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Gas_Tes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REFINERY - DAILY MULTI-GAS SURVEILLANCE &amp; SENSOR CALIBRATION REGISTER</t>
        </is>
      </c>
    </row>
    <row r="2">
      <c r="A2" s="2" t="inlineStr">
        <is>
          <t>Date</t>
        </is>
      </c>
      <c r="B2" s="2" t="inlineStr">
        <is>
          <t>Permit No</t>
        </is>
      </c>
      <c r="C2" s="2" t="inlineStr">
        <is>
          <t>Unit / Area</t>
        </is>
      </c>
      <c r="D2" s="2" t="inlineStr">
        <is>
          <t>Equipment Tag</t>
        </is>
      </c>
      <c r="E2" s="2" t="inlineStr">
        <is>
          <t>O2 %</t>
        </is>
      </c>
      <c r="F2" s="2" t="inlineStr">
        <is>
          <t>LEL %</t>
        </is>
      </c>
      <c r="G2" s="2" t="inlineStr">
        <is>
          <t>H2S ppm</t>
        </is>
      </c>
      <c r="H2" s="2" t="inlineStr">
        <is>
          <t>CO ppm</t>
        </is>
      </c>
      <c r="I2" s="2" t="inlineStr">
        <is>
          <t>Detector S/N</t>
        </is>
      </c>
      <c r="J2" s="2" t="inlineStr">
        <is>
          <t>Calibration Due</t>
        </is>
      </c>
      <c r="K2" s="2" t="inlineStr">
        <is>
          <t>Verdict</t>
        </is>
      </c>
    </row>
    <row r="3">
      <c r="A3" t="inlineStr">
        <is>
          <t>2026-08-28</t>
        </is>
      </c>
      <c r="B3" t="inlineStr">
        <is>
          <t>HW-4011</t>
        </is>
      </c>
      <c r="C3" t="inlineStr">
        <is>
          <t>CDU-1</t>
        </is>
      </c>
      <c r="D3" t="inlineStr">
        <is>
          <t>F-101</t>
        </is>
      </c>
      <c r="E3" t="n">
        <v>20.9</v>
      </c>
      <c r="F3" t="n">
        <v>0</v>
      </c>
      <c r="G3" t="n">
        <v>0</v>
      </c>
      <c r="H3" t="n">
        <v>1.2</v>
      </c>
      <c r="I3" t="inlineStr">
        <is>
          <t>MX6-9921</t>
        </is>
      </c>
      <c r="J3" t="inlineStr">
        <is>
          <t>2026-12-31</t>
        </is>
      </c>
      <c r="K3">
        <f>IF(AND(E3&gt;=19.5,E3&lt;=23.5,F3=0,G3&lt;10),'PASS','STOP')</f>
        <v/>
      </c>
    </row>
    <row r="4">
      <c r="A4" t="inlineStr">
        <is>
          <t>2026-08-28</t>
        </is>
      </c>
      <c r="B4" t="inlineStr">
        <is>
          <t>CSE-204</t>
        </is>
      </c>
      <c r="C4" t="inlineStr">
        <is>
          <t>HCU-2</t>
        </is>
      </c>
      <c r="D4" t="inlineStr">
        <is>
          <t>V-201</t>
        </is>
      </c>
      <c r="E4" t="n">
        <v>20.8</v>
      </c>
      <c r="F4" t="n">
        <v>0</v>
      </c>
      <c r="G4" t="n">
        <v>0</v>
      </c>
      <c r="H4" t="n">
        <v>0</v>
      </c>
      <c r="I4" t="inlineStr">
        <is>
          <t>MX6-9924</t>
        </is>
      </c>
      <c r="J4" t="inlineStr">
        <is>
          <t>2026-12-31</t>
        </is>
      </c>
      <c r="K4">
        <f>IF(AND(E4&gt;=19.5,E4&lt;=23.5,F4=0,G4&lt;10),'PASS','STOP')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2026-08-28T12:41:18Z</dcterms:created>
  <dcterms:modified xmlns:dcterms="http://purl.org/dc/terms/" xmlns:xsi="http://www.w3.org/2001/XMLSchema-instance" xsi:type="dcterms:W3CDTF">2026-08-28T12:41:18Z</dcterms:modified>
</cp:coreProperties>
</file>