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_Bill_Abs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ONGC / MRPL — e-MEASUREMENT BOOK (e-MB) &amp; RA BILLING LEDGER</t>
        </is>
      </c>
    </row>
    <row r="2">
      <c r="A2" s="2" t="inlineStr">
        <is>
          <t>BoQ Item</t>
        </is>
      </c>
      <c r="B2" s="2" t="inlineStr">
        <is>
          <t>Item Description</t>
        </is>
      </c>
      <c r="C2" s="2" t="inlineStr">
        <is>
          <t>Unit</t>
        </is>
      </c>
      <c r="D2" s="2" t="inlineStr">
        <is>
          <t>DSR Rate (₹)</t>
        </is>
      </c>
      <c r="E2" s="2" t="inlineStr">
        <is>
          <t>Length (m)</t>
        </is>
      </c>
      <c r="F2" s="2" t="inlineStr">
        <is>
          <t>Breadth (m)</t>
        </is>
      </c>
      <c r="G2" s="2" t="inlineStr">
        <is>
          <t>Depth (m)</t>
        </is>
      </c>
      <c r="H2" s="2" t="inlineStr">
        <is>
          <t>Qty Executed</t>
        </is>
      </c>
      <c r="I2" s="2" t="inlineStr">
        <is>
          <t>Gross Amount (₹)</t>
        </is>
      </c>
      <c r="J2" s="2" t="inlineStr">
        <is>
          <t>TDS 194C (2%)</t>
        </is>
      </c>
      <c r="K2" s="2" t="inlineStr">
        <is>
          <t>GST TDS (2%)</t>
        </is>
      </c>
      <c r="L2" s="2" t="inlineStr">
        <is>
          <t>Retention (5%)</t>
        </is>
      </c>
      <c r="M2" s="2" t="inlineStr">
        <is>
          <t>Net Payable (₹)</t>
        </is>
      </c>
    </row>
    <row r="3">
      <c r="A3" t="inlineStr">
        <is>
          <t>BoQ-01</t>
        </is>
      </c>
      <c r="B3" t="inlineStr">
        <is>
          <t>RCC M-30 Equipment Foundation</t>
        </is>
      </c>
      <c r="C3" t="inlineStr">
        <is>
          <t>m³</t>
        </is>
      </c>
      <c r="D3" t="n">
        <v>8500</v>
      </c>
      <c r="E3" t="n">
        <v>12</v>
      </c>
      <c r="F3" t="n">
        <v>6.5</v>
      </c>
      <c r="G3" t="n">
        <v>1.8</v>
      </c>
      <c r="H3">
        <f>E3*F3*G3</f>
        <v/>
      </c>
      <c r="I3">
        <f>D3*H3</f>
        <v/>
      </c>
      <c r="J3">
        <f>I3*0.02</f>
        <v/>
      </c>
      <c r="K3">
        <f>I3*0.02</f>
        <v/>
      </c>
      <c r="L3">
        <f>I3*0.05</f>
        <v/>
      </c>
      <c r="M3">
        <f>I3-J3-K3-L3</f>
        <v/>
      </c>
    </row>
    <row r="4">
      <c r="A4" t="inlineStr">
        <is>
          <t>BoQ-02</t>
        </is>
      </c>
      <c r="B4" t="inlineStr">
        <is>
          <t>Structural Steel Fabrication</t>
        </is>
      </c>
      <c r="C4" t="inlineStr">
        <is>
          <t>MT</t>
        </is>
      </c>
      <c r="D4" t="n">
        <v>72000</v>
      </c>
      <c r="E4" t="n">
        <v>1</v>
      </c>
      <c r="F4" t="n">
        <v>1</v>
      </c>
      <c r="G4" t="n">
        <v>24.5</v>
      </c>
      <c r="H4">
        <f>G4</f>
        <v/>
      </c>
      <c r="I4">
        <f>D4*H4</f>
        <v/>
      </c>
      <c r="J4">
        <f>I4*0.02</f>
        <v/>
      </c>
      <c r="K4">
        <f>I4*0.02</f>
        <v/>
      </c>
      <c r="L4">
        <f>I4*0.05</f>
        <v/>
      </c>
      <c r="M4">
        <f>I4-J4-K4-L4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2026-08-28T12:41:19Z</dcterms:created>
  <dcterms:modified xmlns:dcterms="http://purl.org/dc/terms/" xmlns:xsi="http://www.w3.org/2001/XMLSchema-instance" xsi:type="dcterms:W3CDTF">2026-08-28T12:41:19Z</dcterms:modified>
</cp:coreProperties>
</file>