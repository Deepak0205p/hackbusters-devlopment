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C_Arrival_C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 TENDER EVALUATION — COMPARATIVE STATEMENT &amp; TOTAL LANDED COST (TLC) MATRIX</t>
        </is>
      </c>
    </row>
    <row r="2">
      <c r="A2" s="2" t="inlineStr">
        <is>
          <t>Bidder Name</t>
        </is>
      </c>
      <c r="B2" s="2" t="inlineStr">
        <is>
          <t>MSE Status</t>
        </is>
      </c>
      <c r="C2" s="2" t="inlineStr">
        <is>
          <t>MII Content %</t>
        </is>
      </c>
      <c r="D2" s="2" t="inlineStr">
        <is>
          <t>Base Quoted (₹)</t>
        </is>
      </c>
      <c r="E2" s="2" t="inlineStr">
        <is>
          <t>Freight &amp; P&amp;F (₹)</t>
        </is>
      </c>
      <c r="F2" s="2" t="inlineStr">
        <is>
          <t>GST %</t>
        </is>
      </c>
      <c r="G2" s="2" t="inlineStr">
        <is>
          <t>GST Amount (₹)</t>
        </is>
      </c>
      <c r="H2" s="2" t="inlineStr">
        <is>
          <t>Total Landed Cost (₹)</t>
        </is>
      </c>
      <c r="I2" s="2" t="inlineStr">
        <is>
          <t>Evaluated Rank</t>
        </is>
      </c>
    </row>
    <row r="3">
      <c r="A3" t="inlineStr">
        <is>
          <t>L&amp;T Hydrocarbon Engineering</t>
        </is>
      </c>
      <c r="B3" t="inlineStr">
        <is>
          <t>Non-MSE</t>
        </is>
      </c>
      <c r="C3" t="n">
        <v>78</v>
      </c>
      <c r="D3" t="n">
        <v>12000000</v>
      </c>
      <c r="E3" t="n">
        <v>250000</v>
      </c>
      <c r="F3" t="n">
        <v>18</v>
      </c>
      <c r="G3">
        <f>(D3+E3)*F3/100</f>
        <v/>
      </c>
      <c r="H3">
        <f>D3+E3+G3</f>
        <v/>
      </c>
      <c r="I3">
        <f>RANK(H3,$H$3:$H$5,1)</f>
        <v/>
      </c>
    </row>
    <row r="4">
      <c r="A4" t="inlineStr">
        <is>
          <t>BHEL Heavy Engineering</t>
        </is>
      </c>
      <c r="B4" t="inlineStr">
        <is>
          <t>Class-I MII</t>
        </is>
      </c>
      <c r="C4" t="n">
        <v>85</v>
      </c>
      <c r="D4" t="n">
        <v>11500000</v>
      </c>
      <c r="E4" t="n">
        <v>300000</v>
      </c>
      <c r="F4" t="n">
        <v>18</v>
      </c>
      <c r="G4">
        <f>(D4+E4)*F4/100</f>
        <v/>
      </c>
      <c r="H4">
        <f>D4+E4+G4</f>
        <v/>
      </c>
      <c r="I4">
        <f>RANK(H4,$H$3:$H$5,1)</f>
        <v/>
      </c>
    </row>
    <row r="5">
      <c r="A5" t="inlineStr">
        <is>
          <t>Triveni Turbine Works</t>
        </is>
      </c>
      <c r="B5" t="inlineStr">
        <is>
          <t>MSE-Medium</t>
        </is>
      </c>
      <c r="C5" t="n">
        <v>65</v>
      </c>
      <c r="D5" t="n">
        <v>12800000</v>
      </c>
      <c r="E5" t="n">
        <v>200000</v>
      </c>
      <c r="F5" t="n">
        <v>18</v>
      </c>
      <c r="G5">
        <f>(D5+E5)*F5/100</f>
        <v/>
      </c>
      <c r="H5">
        <f>D5+E5+G5</f>
        <v/>
      </c>
      <c r="I5">
        <f>RANK(H5,$H$3:$H$5,1)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