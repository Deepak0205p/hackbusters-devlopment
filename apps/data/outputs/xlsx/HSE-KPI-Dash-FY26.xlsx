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LTIFR_TR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MRPL REFINERY - MONTHLY SAFETY KPI &amp; LTIFR/TRIR DASHBOARD (FY 2025-26)</t>
        </is>
      </c>
    </row>
    <row r="2">
      <c r="A2" s="2" t="inlineStr">
        <is>
          <t>Month</t>
        </is>
      </c>
      <c r="B2" s="2" t="inlineStr">
        <is>
          <t>Own Man-Hours</t>
        </is>
      </c>
      <c r="C2" s="2" t="inlineStr">
        <is>
          <t>Contract Man-Hours</t>
        </is>
      </c>
      <c r="D2" s="2" t="inlineStr">
        <is>
          <t>Total Hours</t>
        </is>
      </c>
      <c r="E2" s="2" t="inlineStr">
        <is>
          <t>LTI Count</t>
        </is>
      </c>
      <c r="F2" s="2" t="inlineStr">
        <is>
          <t>RWC Count</t>
        </is>
      </c>
      <c r="G2" s="2" t="inlineStr">
        <is>
          <t>MTC Count</t>
        </is>
      </c>
      <c r="H2" s="2" t="inlineStr">
        <is>
          <t>Recordable Incidents</t>
        </is>
      </c>
      <c r="I2" s="2" t="inlineStr">
        <is>
          <t>LTIFR (per 1M hrs)</t>
        </is>
      </c>
      <c r="J2" s="2" t="inlineStr">
        <is>
          <t>TRIR (per 200k hrs)</t>
        </is>
      </c>
      <c r="K2" s="2" t="inlineStr">
        <is>
          <t>Status</t>
        </is>
      </c>
    </row>
    <row r="3">
      <c r="A3" s="3" t="inlineStr">
        <is>
          <t>Apr-25</t>
        </is>
      </c>
      <c r="B3" s="3" t="n">
        <v>220000</v>
      </c>
      <c r="C3" s="3" t="n">
        <v>480000</v>
      </c>
      <c r="D3" s="3">
        <f>B3+C3</f>
        <v/>
      </c>
      <c r="E3" s="3" t="n">
        <v>0</v>
      </c>
      <c r="F3" s="3" t="n">
        <v>0</v>
      </c>
      <c r="G3" s="3" t="n">
        <v>1</v>
      </c>
      <c r="H3" s="3">
        <f>E3+F3+G3</f>
        <v/>
      </c>
      <c r="I3" s="3">
        <f>(E3*1000000)/D3</f>
        <v/>
      </c>
      <c r="J3" s="3">
        <f>(H3*200000)/D3</f>
        <v/>
      </c>
      <c r="K3" s="3">
        <f>IF(I3&lt;=0.10,"TARGET MET","ATTENTION")</f>
        <v/>
      </c>
    </row>
    <row r="4">
      <c r="A4" s="3" t="inlineStr">
        <is>
          <t>May-25</t>
        </is>
      </c>
      <c r="B4" s="3" t="n">
        <v>225000</v>
      </c>
      <c r="C4" s="3" t="n">
        <v>510000</v>
      </c>
      <c r="D4" s="3">
        <f>B4+C4</f>
        <v/>
      </c>
      <c r="E4" s="3" t="n">
        <v>0</v>
      </c>
      <c r="F4" s="3" t="n">
        <v>1</v>
      </c>
      <c r="G4" s="3" t="n">
        <v>0</v>
      </c>
      <c r="H4" s="3">
        <f>E4+F4+G4</f>
        <v/>
      </c>
      <c r="I4" s="3">
        <f>(E4*1000000)/D4</f>
        <v/>
      </c>
      <c r="J4" s="3">
        <f>(H4*200000)/D4</f>
        <v/>
      </c>
      <c r="K4" s="3">
        <f>IF(I4&lt;=0.10,"TARGET MET","ATTENTION")</f>
        <v/>
      </c>
    </row>
    <row r="5">
      <c r="A5" s="3" t="inlineStr">
        <is>
          <t>Jun-25</t>
        </is>
      </c>
      <c r="B5" s="3" t="n">
        <v>218000</v>
      </c>
      <c r="C5" s="3" t="n">
        <v>495000</v>
      </c>
      <c r="D5" s="3">
        <f>B5+C5</f>
        <v/>
      </c>
      <c r="E5" s="3" t="n">
        <v>0</v>
      </c>
      <c r="F5" s="3" t="n">
        <v>0</v>
      </c>
      <c r="G5" s="3" t="n">
        <v>0</v>
      </c>
      <c r="H5" s="3">
        <f>E5+F5+G5</f>
        <v/>
      </c>
      <c r="I5" s="3">
        <f>(E5*1000000)/D5</f>
        <v/>
      </c>
      <c r="J5" s="3">
        <f>(H5*200000)/D5</f>
        <v/>
      </c>
      <c r="K5" s="3">
        <f>IF(I5&lt;=0.10,"TARGET MET","ATTENTION")</f>
        <v/>
      </c>
    </row>
    <row r="6">
      <c r="A6" s="3" t="inlineStr">
        <is>
          <t>Jul-25</t>
        </is>
      </c>
      <c r="B6" s="3" t="n">
        <v>230000</v>
      </c>
      <c r="C6" s="3" t="n">
        <v>530000</v>
      </c>
      <c r="D6" s="3">
        <f>B6+C6</f>
        <v/>
      </c>
      <c r="E6" s="3" t="n">
        <v>0</v>
      </c>
      <c r="F6" s="3" t="n">
        <v>0</v>
      </c>
      <c r="G6" s="3" t="n">
        <v>0</v>
      </c>
      <c r="H6" s="3">
        <f>E6+F6+G6</f>
        <v/>
      </c>
      <c r="I6" s="3">
        <f>(E6*1000000)/D6</f>
        <v/>
      </c>
      <c r="J6" s="3">
        <f>(H6*200000)/D6</f>
        <v/>
      </c>
      <c r="K6" s="3">
        <f>IF(I6&lt;=0.10,"TARGET MET","ATTENTION")</f>
        <v/>
      </c>
    </row>
    <row r="7">
      <c r="A7" s="3" t="inlineStr">
        <is>
          <t>Aug-25</t>
        </is>
      </c>
      <c r="B7" s="3" t="n">
        <v>222000</v>
      </c>
      <c r="C7" s="3" t="n">
        <v>510000</v>
      </c>
      <c r="D7" s="3">
        <f>B7+C7</f>
        <v/>
      </c>
      <c r="E7" s="3" t="n">
        <v>0</v>
      </c>
      <c r="F7" s="3" t="n">
        <v>0</v>
      </c>
      <c r="G7" s="3" t="n">
        <v>2</v>
      </c>
      <c r="H7" s="3">
        <f>E7+F7+G7</f>
        <v/>
      </c>
      <c r="I7" s="3">
        <f>(E7*1000000)/D7</f>
        <v/>
      </c>
      <c r="J7" s="3">
        <f>(H7*200000)/D7</f>
        <v/>
      </c>
      <c r="K7" s="3">
        <f>IF(I7&lt;=0.10,"TARGET MET","ATTENTION")</f>
        <v/>
      </c>
    </row>
    <row r="8">
      <c r="A8" s="3" t="inlineStr">
        <is>
          <t>Sep-25</t>
        </is>
      </c>
      <c r="B8" s="3" t="n">
        <v>228000</v>
      </c>
      <c r="C8" s="3" t="n">
        <v>540000</v>
      </c>
      <c r="D8" s="3">
        <f>B8+C8</f>
        <v/>
      </c>
      <c r="E8" s="3" t="n">
        <v>0</v>
      </c>
      <c r="F8" s="3" t="n">
        <v>0</v>
      </c>
      <c r="G8" s="3" t="n">
        <v>0</v>
      </c>
      <c r="H8" s="3">
        <f>E8+F8+G8</f>
        <v/>
      </c>
      <c r="I8" s="3">
        <f>(E8*1000000)/D8</f>
        <v/>
      </c>
      <c r="J8" s="3">
        <f>(H8*200000)/D8</f>
        <v/>
      </c>
      <c r="K8" s="3">
        <f>IF(I8&lt;=0.10,"TARGET MET","ATTENTION")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2026-08-28T12:41:18Z</dcterms:created>
  <dcterms:modified xmlns:dcterms="http://purl.org/dc/terms/" xmlns:xsi="http://www.w3.org/2001/XMLSchema-instance" xsi:type="dcterms:W3CDTF">2026-08-28T12:41:18Z</dcterms:modified>
</cp:coreProperties>
</file>