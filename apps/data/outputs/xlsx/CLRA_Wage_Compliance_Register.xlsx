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Wage_Payment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CONTRACT LABOUR WAGE, EPF &amp; ESI COMPLIANCE REGISTER (FORM XIII)</t>
        </is>
      </c>
    </row>
    <row r="2">
      <c r="A2" s="2" t="inlineStr">
        <is>
          <t>Contractor Name</t>
        </is>
      </c>
      <c r="B2" s="2" t="inlineStr">
        <is>
          <t>Work Order Ref</t>
        </is>
      </c>
      <c r="C2" s="2" t="inlineStr">
        <is>
          <t>Workers Deployed</t>
        </is>
      </c>
      <c r="D2" s="2" t="inlineStr">
        <is>
          <t>Wage Rate Paid (₹/day)</t>
        </is>
      </c>
      <c r="E2" s="2" t="inlineStr">
        <is>
          <t>Central Min Wage (₹/day)</t>
        </is>
      </c>
      <c r="F2" s="2" t="inlineStr">
        <is>
          <t>Wage Deficiency Flag</t>
        </is>
      </c>
      <c r="G2" s="2" t="inlineStr">
        <is>
          <t>Total Wages Paid (₹)</t>
        </is>
      </c>
      <c r="H2" s="2" t="inlineStr">
        <is>
          <t>EPF (12% ₹)</t>
        </is>
      </c>
      <c r="I2" s="2" t="inlineStr">
        <is>
          <t>ESI (3.25% ₹)</t>
        </is>
      </c>
      <c r="J2" s="2" t="inlineStr">
        <is>
          <t>Status</t>
        </is>
      </c>
    </row>
    <row r="3">
      <c r="A3" t="inlineStr">
        <is>
          <t>Apex Industrial Services</t>
        </is>
      </c>
      <c r="B3" t="inlineStr">
        <is>
          <t>MRPL-M-01</t>
        </is>
      </c>
      <c r="C3" t="n">
        <v>120</v>
      </c>
      <c r="D3" t="n">
        <v>945</v>
      </c>
      <c r="E3" t="n">
        <v>890</v>
      </c>
      <c r="F3">
        <f>IF(D3&lt;E3,"DEFICIENT","COMPLIANT")</f>
        <v/>
      </c>
      <c r="G3">
        <f>C3*D3*26</f>
        <v/>
      </c>
      <c r="H3">
        <f>G3*0.12</f>
        <v/>
      </c>
      <c r="I3">
        <f>G3*0.0325</f>
        <v/>
      </c>
      <c r="J3" t="inlineStr">
        <is>
          <t>VERIFIED</t>
        </is>
      </c>
    </row>
    <row r="4">
      <c r="A4" t="inlineStr">
        <is>
          <t>Coastal Mech Maintenance</t>
        </is>
      </c>
      <c r="B4" t="inlineStr">
        <is>
          <t>MRPL-M-02</t>
        </is>
      </c>
      <c r="C4" t="n">
        <v>85</v>
      </c>
      <c r="D4" t="n">
        <v>945</v>
      </c>
      <c r="E4" t="n">
        <v>890</v>
      </c>
      <c r="F4">
        <f>IF(D4&lt;E4,"DEFICIENT","COMPLIANT")</f>
        <v/>
      </c>
      <c r="G4">
        <f>C4*D4*26</f>
        <v/>
      </c>
      <c r="H4">
        <f>G4*0.12</f>
        <v/>
      </c>
      <c r="I4">
        <f>G4*0.0325</f>
        <v/>
      </c>
      <c r="J4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