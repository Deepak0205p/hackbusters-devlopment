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MB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SPECIFIC ENERGY CONSUMPTION &amp; SOLOMON MBN DASHBOARD</t>
        </is>
      </c>
    </row>
    <row r="2">
      <c r="A2" s="2" t="inlineStr">
        <is>
          <t>Energy Source</t>
        </is>
      </c>
      <c r="B2" s="2" t="inlineStr">
        <is>
          <t>Daily Consumption</t>
        </is>
      </c>
      <c r="C2" s="2" t="inlineStr">
        <is>
          <t>Unit</t>
        </is>
      </c>
      <c r="D2" s="2" t="inlineStr">
        <is>
          <t>NCV / Factor</t>
        </is>
      </c>
      <c r="E2" s="2" t="inlineStr">
        <is>
          <t>Heat Energy (MMBtu)</t>
        </is>
      </c>
      <c r="F2" s="2" t="inlineStr">
        <is>
          <t>Specific Energy (MBN)</t>
        </is>
      </c>
      <c r="G2" s="2" t="inlineStr">
        <is>
          <t>Benchmark</t>
        </is>
      </c>
    </row>
    <row r="3">
      <c r="A3" t="inlineStr">
        <is>
          <t>Refinery Fuel Gas</t>
        </is>
      </c>
      <c r="B3" t="n">
        <v>420</v>
      </c>
      <c r="C3" t="inlineStr">
        <is>
          <t>MT/day</t>
        </is>
      </c>
      <c r="D3" t="n">
        <v>46.5</v>
      </c>
      <c r="E3">
        <f>B3*D3*0.9478</f>
        <v/>
      </c>
      <c r="F3" t="n">
        <v>54.2</v>
      </c>
      <c r="G3" t="n">
        <v>58</v>
      </c>
    </row>
    <row r="4">
      <c r="A4" t="inlineStr">
        <is>
          <t>Natural Gas (Imported)</t>
        </is>
      </c>
      <c r="B4" t="n">
        <v>180000</v>
      </c>
      <c r="C4" t="inlineStr">
        <is>
          <t>Sm³/day</t>
        </is>
      </c>
      <c r="D4" t="n">
        <v>38.2</v>
      </c>
      <c r="E4">
        <f>B4*D4*0.0009478</f>
        <v/>
      </c>
      <c r="F4" t="n">
        <v>22.1</v>
      </c>
      <c r="G4" t="n">
        <v>25</v>
      </c>
    </row>
    <row r="5">
      <c r="A5" t="inlineStr">
        <is>
          <t>Grid Electricity</t>
        </is>
      </c>
      <c r="B5" t="n">
        <v>340</v>
      </c>
      <c r="C5" t="inlineStr">
        <is>
          <t>MWh/day</t>
        </is>
      </c>
      <c r="D5" t="n">
        <v>3.412</v>
      </c>
      <c r="E5">
        <f>B5*D5</f>
        <v/>
      </c>
      <c r="F5" t="n">
        <v>8.4</v>
      </c>
      <c r="G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2026-08-28T12:41:18Z</dcterms:modified>
</cp:coreProperties>
</file>