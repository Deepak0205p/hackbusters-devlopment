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101A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F7FAFC"/>
        <bgColor rgb="00F7FAFC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34" customWidth="1" min="3" max="3"/>
    <col width="16" customWidth="1" min="4" max="4"/>
    <col width="37" customWidth="1" min="5" max="5"/>
  </cols>
  <sheetData>
    <row r="1" ht="30" customHeight="1">
      <c r="A1" s="1" t="inlineStr">
        <is>
          <t>MRPL REFINERY - CENTRIFUGAL PUMP HYDRAULIC CALCULATION REGISTER (API 610)</t>
        </is>
      </c>
    </row>
    <row r="2">
      <c r="A2" s="2" t="inlineStr">
        <is>
          <t>Equipment Tag</t>
        </is>
      </c>
      <c r="B2" s="2" t="inlineStr">
        <is>
          <t>P-101A</t>
        </is>
      </c>
      <c r="C2" s="2" t="inlineStr">
        <is>
          <t>Crude Charge Centrifugal Pump</t>
        </is>
      </c>
      <c r="D2" s="2" t="inlineStr"/>
      <c r="E2" s="2" t="inlineStr"/>
    </row>
    <row r="3">
      <c r="A3" s="2" t="inlineStr">
        <is>
          <t>Design Standard</t>
        </is>
      </c>
      <c r="B3" s="2" t="inlineStr">
        <is>
          <t>API 610 11th Edition</t>
        </is>
      </c>
      <c r="C3" s="2" t="inlineStr">
        <is>
          <t>Heavy Duty Chemical &amp; Refinery</t>
        </is>
      </c>
      <c r="D3" s="2" t="inlineStr"/>
      <c r="E3" s="2" t="inlineStr"/>
    </row>
    <row r="4">
      <c r="A4" s="2" t="inlineStr">
        <is>
          <t>Fluid Handled</t>
        </is>
      </c>
      <c r="B4" s="2" t="inlineStr">
        <is>
          <t>Arabian Light Crude Oil</t>
        </is>
      </c>
      <c r="C4" s="2" t="inlineStr">
        <is>
          <t>Density = 850 kg/m³</t>
        </is>
      </c>
      <c r="D4" s="2" t="inlineStr"/>
      <c r="E4" s="2" t="inlineStr"/>
    </row>
    <row r="5">
      <c r="A5" s="2" t="inlineStr"/>
      <c r="B5" s="2" t="inlineStr"/>
      <c r="C5" s="2" t="inlineStr"/>
      <c r="D5" s="2" t="inlineStr"/>
      <c r="E5" s="2" t="inlineStr"/>
    </row>
    <row r="6">
      <c r="A6" s="3" t="inlineStr">
        <is>
          <t>Parameter</t>
        </is>
      </c>
      <c r="B6" s="3" t="inlineStr">
        <is>
          <t>Symbol</t>
        </is>
      </c>
      <c r="C6" s="3" t="inlineStr">
        <is>
          <t>Input Value</t>
        </is>
      </c>
      <c r="D6" s="3" t="inlineStr">
        <is>
          <t>Unit</t>
        </is>
      </c>
      <c r="E6" s="3" t="inlineStr">
        <is>
          <t>Verification / Design Envelope</t>
        </is>
      </c>
    </row>
    <row r="7">
      <c r="A7" s="2" t="inlineStr">
        <is>
          <t>Volumetric Flow Rate</t>
        </is>
      </c>
      <c r="B7" s="2" t="inlineStr">
        <is>
          <t>Q</t>
        </is>
      </c>
      <c r="C7" s="2" t="n">
        <v>450</v>
      </c>
      <c r="D7" s="2" t="inlineStr">
        <is>
          <t>m³/h</t>
        </is>
      </c>
      <c r="E7" s="2" t="inlineStr">
        <is>
          <t>Design: 400 - 500 m³/h</t>
        </is>
      </c>
    </row>
    <row r="8">
      <c r="A8" s="4" t="inlineStr">
        <is>
          <t>Differential Head</t>
        </is>
      </c>
      <c r="B8" s="4" t="inlineStr">
        <is>
          <t>H</t>
        </is>
      </c>
      <c r="C8" s="4" t="n">
        <v>125</v>
      </c>
      <c r="D8" s="4" t="inlineStr">
        <is>
          <t>m</t>
        </is>
      </c>
      <c r="E8" s="4" t="inlineStr">
        <is>
          <t>Design: 120 - 130 m</t>
        </is>
      </c>
    </row>
    <row r="9">
      <c r="A9" s="2" t="inlineStr">
        <is>
          <t>Fluid Density</t>
        </is>
      </c>
      <c r="B9" s="2" t="inlineStr">
        <is>
          <t>ρ</t>
        </is>
      </c>
      <c r="C9" s="2" t="n">
        <v>850</v>
      </c>
      <c r="D9" s="2" t="inlineStr">
        <is>
          <t>kg/m³</t>
        </is>
      </c>
      <c r="E9" s="2" t="inlineStr">
        <is>
          <t>Nominal: 850 kg/m³</t>
        </is>
      </c>
    </row>
    <row r="10">
      <c r="A10" s="4" t="inlineStr">
        <is>
          <t>Gravitational Acceleration</t>
        </is>
      </c>
      <c r="B10" s="4" t="inlineStr">
        <is>
          <t>g</t>
        </is>
      </c>
      <c r="C10" s="4" t="n">
        <v>9.81</v>
      </c>
      <c r="D10" s="4" t="inlineStr">
        <is>
          <t>m/s²</t>
        </is>
      </c>
      <c r="E10" s="4" t="inlineStr">
        <is>
          <t>Standard gravity</t>
        </is>
      </c>
    </row>
    <row r="11">
      <c r="A11" s="2" t="inlineStr">
        <is>
          <t>Flow Rate (SI Units)</t>
        </is>
      </c>
      <c r="B11" s="2" t="inlineStr">
        <is>
          <t>Q_si</t>
        </is>
      </c>
      <c r="C11" s="2" t="n">
        <v>0.125</v>
      </c>
      <c r="D11" s="2" t="inlineStr">
        <is>
          <t>m³/s</t>
        </is>
      </c>
      <c r="E11" s="2">
        <f> Q / 3600</f>
        <v/>
      </c>
    </row>
    <row r="12">
      <c r="A12" s="4" t="inlineStr">
        <is>
          <t>Hydraulic Power Generated</t>
        </is>
      </c>
      <c r="B12" s="4" t="inlineStr">
        <is>
          <t>Ph</t>
        </is>
      </c>
      <c r="C12" s="4" t="n">
        <v>130.23</v>
      </c>
      <c r="D12" s="4" t="inlineStr">
        <is>
          <t>kW</t>
        </is>
      </c>
      <c r="E12" s="4" t="inlineStr">
        <is>
          <t>Ph = (ρ * g * Q_si * H) / 1000</t>
        </is>
      </c>
    </row>
    <row r="13">
      <c r="A13" s="2" t="inlineStr">
        <is>
          <t>Electrical Motor Input Power</t>
        </is>
      </c>
      <c r="B13" s="2" t="inlineStr">
        <is>
          <t>Pin</t>
        </is>
      </c>
      <c r="C13" s="2" t="n">
        <v>160</v>
      </c>
      <c r="D13" s="2" t="inlineStr">
        <is>
          <t>kW</t>
        </is>
      </c>
      <c r="E13" s="2" t="inlineStr">
        <is>
          <t>Measured motor draw</t>
        </is>
      </c>
    </row>
    <row r="14">
      <c r="A14" s="4" t="inlineStr">
        <is>
          <t>Operating Hydraulic Efficiency</t>
        </is>
      </c>
      <c r="B14" s="4" t="inlineStr">
        <is>
          <t>η</t>
        </is>
      </c>
      <c r="C14" s="4" t="n">
        <v>81.39</v>
      </c>
      <c r="D14" s="4" t="inlineStr">
        <is>
          <t>%</t>
        </is>
      </c>
      <c r="E14" s="4" t="inlineStr">
        <is>
          <t>η = (Ph / Pin) * 100</t>
        </is>
      </c>
    </row>
    <row r="15">
      <c r="A15" s="5" t="inlineStr">
        <is>
          <t>API 610 Compliance Verdict</t>
        </is>
      </c>
      <c r="B15" s="5" t="inlineStr">
        <is>
          <t>VERDICT</t>
        </is>
      </c>
      <c r="C15" s="5" t="inlineStr">
        <is>
          <t>PASS (VALID API 610)</t>
        </is>
      </c>
      <c r="D15" s="5" t="inlineStr">
        <is>
          <t>-</t>
        </is>
      </c>
      <c r="E15" s="5" t="inlineStr">
        <is>
          <t>Design Target Envelope: 78% - 85%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2026-08-25T05:58:22Z</dcterms:created>
  <dcterms:modified xmlns:dcterms="http://purl.org/dc/terms/" xmlns:xsi="http://www.w3.org/2001/XMLSchema-instance" xsi:type="dcterms:W3CDTF">2026-08-25T05:58:22Z</dcterms:modified>
</cp:coreProperties>
</file>